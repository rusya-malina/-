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170" windowHeight="13455"/>
  </bookViews>
  <sheets>
    <sheet name="XLS 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<sst xmlns="http://schemas.openxmlformats.org/spreadsheetml/2006/main" count="54" uniqueCount="41">
  <si>
    <t>full_name</t>
  </si>
  <si>
    <t>gt_plan</t>
  </si>
  <si>
    <t>gt_fact</t>
  </si>
  <si>
    <t>micro_plan</t>
  </si>
  <si>
    <t>micro_las_fact</t>
  </si>
  <si>
    <t>micro_lau_fact</t>
  </si>
  <si>
    <t>retrafic_plan</t>
  </si>
  <si>
    <t>retrafic_fact</t>
  </si>
  <si>
    <t>office_hours</t>
  </si>
  <si>
    <t>field_hours</t>
  </si>
  <si>
    <t>Богдан Танаилов</t>
  </si>
  <si>
    <t>Дмитрий Хайдуров</t>
  </si>
  <si>
    <t>0</t>
  </si>
  <si>
    <t>Алена Агаркова</t>
  </si>
  <si>
    <t>Марго Диденко</t>
  </si>
  <si>
    <t>9.5</t>
  </si>
  <si>
    <t>Владлена Попсуйко</t>
  </si>
  <si>
    <t>1</t>
  </si>
  <si>
    <t>27.50</t>
  </si>
  <si>
    <t>Камила Аминова</t>
  </si>
  <si>
    <t>Барно Матякубова</t>
  </si>
  <si>
    <t>7.5</t>
  </si>
  <si>
    <t>Даяна Кличханова</t>
  </si>
  <si>
    <t>8.5</t>
  </si>
  <si>
    <t>Эмиль Козлов</t>
  </si>
  <si>
    <t>2</t>
  </si>
  <si>
    <t>Елена Синько</t>
  </si>
  <si>
    <t xml:space="preserve">Светлана Борухова </t>
  </si>
  <si>
    <t>Руслан Малинин</t>
  </si>
  <si>
    <t>Александра Умарова</t>
  </si>
  <si>
    <t>9</t>
  </si>
  <si>
    <t xml:space="preserve">Сабина Инамова </t>
  </si>
  <si>
    <t>Екатерина Харчевникова</t>
  </si>
  <si>
    <t>11</t>
  </si>
  <si>
    <t>Алексия Ким</t>
  </si>
  <si>
    <t>Лада Сорочкина</t>
  </si>
  <si>
    <t>30.50</t>
  </si>
  <si>
    <t xml:space="preserve">Валентина Бузрукова </t>
  </si>
  <si>
    <t>Диана Полищук</t>
  </si>
  <si>
    <t>Анастасия Акбарова</t>
  </si>
  <si>
    <t>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</si>
</sst>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,##0.00_-;\-* #\,##0.00_-;_-* &quot;-&quot;??_-;_-@_-"/>
    <numFmt numFmtId="177" formatCode="_-* #\,##0.00\ &quot;₽&quot;_-;\-* #\,##0.00\ &quot;₽&quot;_-;_-* \-??\ &quot;₽&quot;_-;_-@_-"/>
    <numFmt numFmtId="178" formatCode="_-* #\,##0_-;\-* #\,##0_-;_-* &quot;-&quot;_-;_-@_-"/>
    <numFmt numFmtId="179" formatCode="_-* #\,##0\ &quot;₽&quot;_-;\-* #\,##0\ &quot;₽&quot;_-;_-* &quot;-&quot;\ &quot;₽&quot;_-;_-@_-"/>
    <numFmt numFmtId="180" formatCode="0.00_);[Red]\(0.00\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0" fillId="0" borderId="0" xfId="0" applyFont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tabSelected="1" zoomScaleSheetLayoutView="60" workbookViewId="0">
      <selection activeCell="G30" sqref="G30"/>
    </sheetView>
  </sheetViews>
  <sheetFormatPr defaultColWidth="10.2857142857143" defaultRowHeight="15"/>
  <cols>
    <col min="1" max="1" width="26" customWidth="1"/>
    <col min="2" max="4" width="10.2857142857143" customWidth="1"/>
    <col min="5" max="5" width="14.8571428571429" customWidth="1"/>
    <col min="6" max="6" width="15.1428571428571" customWidth="1"/>
    <col min="7" max="7" width="13.1428571428571" customWidth="1"/>
    <col min="8" max="8" width="12.5714285714286" customWidth="1"/>
    <col min="9" max="9" width="13" customWidth="1"/>
    <col min="10" max="10" width="11.8571428571429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10</v>
      </c>
      <c r="B2">
        <f>B3</f>
        <v>1440</v>
      </c>
      <c r="C2">
        <f t="shared" ref="C2:J2" si="0">C3</f>
        <v>1585</v>
      </c>
      <c r="D2">
        <f t="shared" si="0"/>
        <v>2048</v>
      </c>
      <c r="E2">
        <f t="shared" si="0"/>
        <v>701</v>
      </c>
      <c r="F2">
        <f t="shared" si="0"/>
        <v>997</v>
      </c>
      <c r="G2">
        <f t="shared" si="0"/>
        <v>240</v>
      </c>
      <c r="H2">
        <f t="shared" si="0"/>
        <v>150</v>
      </c>
    </row>
    <row r="3" s="1" customFormat="1" spans="1:10">
      <c r="A3" s="1" t="s">
        <v>11</v>
      </c>
      <c r="B3" s="1">
        <v>1440</v>
      </c>
      <c r="C3" s="1">
        <f t="shared" ref="C3:H3" si="1">SUM(C4,C13)</f>
        <v>1585</v>
      </c>
      <c r="D3" s="1">
        <f t="shared" si="1"/>
        <v>2048</v>
      </c>
      <c r="E3" s="1">
        <f t="shared" si="1"/>
        <v>701</v>
      </c>
      <c r="F3" s="1">
        <f t="shared" si="1"/>
        <v>997</v>
      </c>
      <c r="G3" s="1">
        <f t="shared" si="1"/>
        <v>240</v>
      </c>
      <c r="H3" s="1">
        <f t="shared" si="1"/>
        <v>150</v>
      </c>
      <c r="I3" s="2" t="s">
        <v>12</v>
      </c>
      <c r="J3" s="2" t="s">
        <v>12</v>
      </c>
    </row>
    <row r="4" s="1" customFormat="1" spans="1:10">
      <c r="A4" s="1" t="s">
        <v>13</v>
      </c>
      <c r="B4" s="1">
        <f>SUM(B5:B12)</f>
        <v>720</v>
      </c>
      <c r="C4" s="1">
        <f t="shared" ref="C4:H4" si="2">SUM(C5:C12)</f>
        <v>824</v>
      </c>
      <c r="D4" s="1">
        <f t="shared" si="2"/>
        <v>1024</v>
      </c>
      <c r="E4" s="1">
        <f t="shared" si="2"/>
        <v>367</v>
      </c>
      <c r="F4" s="1">
        <f t="shared" si="2"/>
        <v>503</v>
      </c>
      <c r="G4" s="1">
        <f t="shared" si="2"/>
        <v>120</v>
      </c>
      <c r="H4" s="1">
        <f t="shared" si="2"/>
        <v>82</v>
      </c>
      <c r="I4" s="2" t="s">
        <v>12</v>
      </c>
      <c r="J4" s="2" t="s">
        <v>12</v>
      </c>
    </row>
    <row r="5" spans="1:10">
      <c r="A5" t="s">
        <v>14</v>
      </c>
      <c r="B5">
        <v>90</v>
      </c>
      <c r="C5">
        <v>84</v>
      </c>
      <c r="D5">
        <v>128</v>
      </c>
      <c r="E5">
        <v>51</v>
      </c>
      <c r="F5">
        <v>73</v>
      </c>
      <c r="G5">
        <v>15</v>
      </c>
      <c r="H5">
        <v>12</v>
      </c>
      <c r="I5" s="3" t="s">
        <v>15</v>
      </c>
      <c r="J5" s="4">
        <v>44</v>
      </c>
    </row>
    <row r="6" spans="1:10">
      <c r="A6" t="s">
        <v>16</v>
      </c>
      <c r="B6">
        <v>90</v>
      </c>
      <c r="C6">
        <v>84</v>
      </c>
      <c r="D6">
        <v>128</v>
      </c>
      <c r="E6">
        <v>35</v>
      </c>
      <c r="F6">
        <v>50</v>
      </c>
      <c r="G6">
        <v>15</v>
      </c>
      <c r="H6">
        <v>7</v>
      </c>
      <c r="I6" s="3" t="s">
        <v>17</v>
      </c>
      <c r="J6" s="4" t="s">
        <v>18</v>
      </c>
    </row>
    <row r="7" spans="1:10">
      <c r="A7" t="s">
        <v>19</v>
      </c>
      <c r="B7">
        <v>90</v>
      </c>
      <c r="C7">
        <v>69</v>
      </c>
      <c r="D7">
        <v>128</v>
      </c>
      <c r="E7">
        <v>27</v>
      </c>
      <c r="F7">
        <v>45</v>
      </c>
      <c r="G7">
        <v>15</v>
      </c>
      <c r="H7">
        <v>1</v>
      </c>
      <c r="I7" s="3" t="s">
        <v>12</v>
      </c>
      <c r="J7" s="4">
        <v>26</v>
      </c>
    </row>
    <row r="8" spans="1:10">
      <c r="A8" t="s">
        <v>20</v>
      </c>
      <c r="B8">
        <v>90</v>
      </c>
      <c r="C8">
        <v>95</v>
      </c>
      <c r="D8">
        <v>128</v>
      </c>
      <c r="E8">
        <v>47</v>
      </c>
      <c r="F8">
        <v>47</v>
      </c>
      <c r="G8">
        <v>15</v>
      </c>
      <c r="H8">
        <v>15</v>
      </c>
      <c r="I8" s="3" t="s">
        <v>21</v>
      </c>
      <c r="J8" s="4">
        <v>35</v>
      </c>
    </row>
    <row r="9" spans="1:10">
      <c r="A9" t="s">
        <v>22</v>
      </c>
      <c r="B9">
        <v>90</v>
      </c>
      <c r="C9">
        <v>94</v>
      </c>
      <c r="D9">
        <v>128</v>
      </c>
      <c r="E9">
        <v>46</v>
      </c>
      <c r="F9">
        <v>50</v>
      </c>
      <c r="G9">
        <v>15</v>
      </c>
      <c r="H9">
        <v>14</v>
      </c>
      <c r="I9" s="3" t="s">
        <v>23</v>
      </c>
      <c r="J9" s="4">
        <v>31</v>
      </c>
    </row>
    <row r="10" spans="1:10">
      <c r="A10" t="s">
        <v>24</v>
      </c>
      <c r="B10">
        <v>90</v>
      </c>
      <c r="C10">
        <v>94</v>
      </c>
      <c r="D10">
        <v>128</v>
      </c>
      <c r="E10">
        <v>31</v>
      </c>
      <c r="F10">
        <v>65</v>
      </c>
      <c r="G10">
        <v>15</v>
      </c>
      <c r="H10">
        <v>6</v>
      </c>
      <c r="I10" s="3" t="s">
        <v>25</v>
      </c>
      <c r="J10" s="4">
        <v>28</v>
      </c>
    </row>
    <row r="11" spans="1:10">
      <c r="A11" s="5" t="s">
        <v>26</v>
      </c>
      <c r="B11">
        <v>90</v>
      </c>
      <c r="C11">
        <v>156</v>
      </c>
      <c r="D11">
        <v>128</v>
      </c>
      <c r="E11">
        <v>57</v>
      </c>
      <c r="F11">
        <v>98</v>
      </c>
      <c r="G11">
        <v>15</v>
      </c>
      <c r="H11">
        <v>14</v>
      </c>
      <c r="I11" s="3" t="s">
        <v>21</v>
      </c>
      <c r="J11" s="4">
        <v>43</v>
      </c>
    </row>
    <row r="12" spans="1:10">
      <c r="A12" t="s">
        <v>27</v>
      </c>
      <c r="B12">
        <v>90</v>
      </c>
      <c r="C12">
        <v>148</v>
      </c>
      <c r="D12">
        <v>128</v>
      </c>
      <c r="E12">
        <v>73</v>
      </c>
      <c r="F12">
        <v>75</v>
      </c>
      <c r="G12">
        <v>15</v>
      </c>
      <c r="H12">
        <v>13</v>
      </c>
      <c r="I12" s="3" t="s">
        <v>25</v>
      </c>
      <c r="J12" s="4">
        <v>36</v>
      </c>
    </row>
    <row r="13" s="1" customFormat="1" spans="1:10">
      <c r="A13" s="1" t="s">
        <v>28</v>
      </c>
      <c r="B13" s="1">
        <f>SUM(B14:B21)</f>
        <v>720</v>
      </c>
      <c r="C13" s="1">
        <f t="shared" ref="C13:H13" si="3">SUM(C14:C21)</f>
        <v>761</v>
      </c>
      <c r="D13" s="1">
        <f t="shared" si="3"/>
        <v>1024</v>
      </c>
      <c r="E13" s="1">
        <f t="shared" si="3"/>
        <v>334</v>
      </c>
      <c r="F13" s="1">
        <f t="shared" si="3"/>
        <v>494</v>
      </c>
      <c r="G13" s="1">
        <f t="shared" si="3"/>
        <v>120</v>
      </c>
      <c r="H13" s="1">
        <f t="shared" si="3"/>
        <v>68</v>
      </c>
      <c r="I13" s="2" t="s">
        <v>12</v>
      </c>
      <c r="J13" s="2" t="s">
        <v>12</v>
      </c>
    </row>
    <row r="14" spans="1:10">
      <c r="A14" t="s">
        <v>29</v>
      </c>
      <c r="B14">
        <v>90</v>
      </c>
      <c r="C14">
        <v>86</v>
      </c>
      <c r="D14">
        <v>128</v>
      </c>
      <c r="E14">
        <v>47</v>
      </c>
      <c r="F14">
        <v>40</v>
      </c>
      <c r="G14">
        <v>15</v>
      </c>
      <c r="H14">
        <v>17</v>
      </c>
      <c r="I14" s="3" t="s">
        <v>30</v>
      </c>
      <c r="J14" s="4">
        <v>34</v>
      </c>
    </row>
    <row r="15" spans="1:10">
      <c r="A15" t="s">
        <v>31</v>
      </c>
      <c r="B15">
        <v>90</v>
      </c>
      <c r="C15">
        <v>62</v>
      </c>
      <c r="D15">
        <v>128</v>
      </c>
      <c r="E15">
        <v>20</v>
      </c>
      <c r="F15">
        <v>33</v>
      </c>
      <c r="G15">
        <v>15</v>
      </c>
      <c r="H15">
        <v>18</v>
      </c>
      <c r="I15" s="3" t="s">
        <v>25</v>
      </c>
      <c r="J15" s="4">
        <v>16</v>
      </c>
    </row>
    <row r="16" spans="1:10">
      <c r="A16" t="s">
        <v>32</v>
      </c>
      <c r="B16">
        <v>90</v>
      </c>
      <c r="C16">
        <v>85</v>
      </c>
      <c r="D16">
        <v>128</v>
      </c>
      <c r="E16">
        <v>40</v>
      </c>
      <c r="F16">
        <v>70</v>
      </c>
      <c r="G16">
        <v>15</v>
      </c>
      <c r="H16">
        <v>2</v>
      </c>
      <c r="I16" s="3" t="s">
        <v>33</v>
      </c>
      <c r="J16" s="4">
        <v>32</v>
      </c>
    </row>
    <row r="17" spans="1:10">
      <c r="A17" t="s">
        <v>34</v>
      </c>
      <c r="B17">
        <v>90</v>
      </c>
      <c r="C17">
        <v>105</v>
      </c>
      <c r="D17">
        <v>128</v>
      </c>
      <c r="E17">
        <v>55</v>
      </c>
      <c r="F17">
        <v>54</v>
      </c>
      <c r="G17">
        <v>15</v>
      </c>
      <c r="H17">
        <v>5</v>
      </c>
      <c r="I17" s="3" t="s">
        <v>30</v>
      </c>
      <c r="J17" s="4">
        <v>37</v>
      </c>
    </row>
    <row r="18" spans="1:10">
      <c r="A18" t="s">
        <v>35</v>
      </c>
      <c r="B18">
        <v>90</v>
      </c>
      <c r="C18">
        <v>65</v>
      </c>
      <c r="D18">
        <v>128</v>
      </c>
      <c r="E18">
        <v>38</v>
      </c>
      <c r="F18">
        <v>66</v>
      </c>
      <c r="G18">
        <v>15</v>
      </c>
      <c r="H18">
        <v>7</v>
      </c>
      <c r="I18" s="3" t="s">
        <v>33</v>
      </c>
      <c r="J18" s="4" t="s">
        <v>36</v>
      </c>
    </row>
    <row r="19" spans="1:10">
      <c r="A19" t="s">
        <v>37</v>
      </c>
      <c r="B19">
        <v>90</v>
      </c>
      <c r="C19">
        <v>60</v>
      </c>
      <c r="D19">
        <v>128</v>
      </c>
      <c r="E19">
        <v>16</v>
      </c>
      <c r="F19">
        <v>58</v>
      </c>
      <c r="G19">
        <v>15</v>
      </c>
      <c r="H19">
        <v>2</v>
      </c>
      <c r="I19" s="3" t="s">
        <v>23</v>
      </c>
      <c r="J19" s="4">
        <v>22</v>
      </c>
    </row>
    <row r="20" spans="1:10">
      <c r="A20" t="s">
        <v>38</v>
      </c>
      <c r="B20">
        <v>90</v>
      </c>
      <c r="C20">
        <v>124</v>
      </c>
      <c r="D20">
        <v>128</v>
      </c>
      <c r="E20">
        <v>47</v>
      </c>
      <c r="F20">
        <v>64</v>
      </c>
      <c r="G20">
        <v>15</v>
      </c>
      <c r="H20">
        <v>4</v>
      </c>
      <c r="I20" s="3" t="s">
        <v>12</v>
      </c>
      <c r="J20" s="4">
        <v>29</v>
      </c>
    </row>
    <row r="21" spans="1:10">
      <c r="A21" t="s">
        <v>39</v>
      </c>
      <c r="B21">
        <v>90</v>
      </c>
      <c r="C21">
        <v>174</v>
      </c>
      <c r="D21">
        <v>128</v>
      </c>
      <c r="E21">
        <v>71</v>
      </c>
      <c r="F21">
        <v>109</v>
      </c>
      <c r="G21">
        <v>15</v>
      </c>
      <c r="H21">
        <v>13</v>
      </c>
      <c r="I21" s="3" t="s">
        <v>40</v>
      </c>
      <c r="J21" s="4">
        <v>39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XLS Worksheet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created xsi:type="dcterms:W3CDTF">2026-08-18T21:48:00Z</dcterms:created>
  <dcterms:modified xsi:type="dcterms:W3CDTF">2026-08-19T21:16:23Z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8D7EB0597F2E4EC4BF013859B9E4DF26_13</vt:lpwstr>
  </property>
  <property fmtid="{D5CDD505-2E9C-101B-9397-08002B2CF9AE}" pid="3" name="KSOProductBuildVer">
    <vt:lpwstr>1049-12.1.0.25862</vt:lpwstr>
  </property>
  <property fmtid="{D5CDD505-2E9C-101B-9397-08002B2CF9AE}" pid="4" name="CalculationRule">
    <vt:i4>0</vt:i4>
  </property>
</Properties>
</file>