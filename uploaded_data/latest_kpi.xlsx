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triy12\OneDrive - Philip Morris International\Desktop\"/>
    </mc:Choice>
  </mc:AlternateContent>
  <xr:revisionPtr revIDLastSave="0" documentId="8_{2F5DD014-1449-4561-B2C9-3B79EAC7CF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XLS Work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2" i="1" s="1"/>
  <c r="H22" i="1" s="1"/>
  <c r="H3" i="1"/>
  <c r="F12" i="1"/>
  <c r="F3" i="1"/>
  <c r="F2" i="1" s="1"/>
  <c r="F22" i="1" s="1"/>
  <c r="E12" i="1"/>
  <c r="E3" i="1"/>
  <c r="E2" i="1" s="1"/>
  <c r="E22" i="1" s="1"/>
  <c r="C12" i="1"/>
  <c r="C3" i="1"/>
  <c r="C2" i="1" s="1"/>
  <c r="C22" i="1" s="1"/>
  <c r="H14" i="1"/>
  <c r="H15" i="1"/>
  <c r="H16" i="1"/>
  <c r="H17" i="1"/>
  <c r="H18" i="1"/>
  <c r="H19" i="1"/>
  <c r="H20" i="1"/>
  <c r="H13" i="1"/>
  <c r="H5" i="1"/>
  <c r="H6" i="1"/>
  <c r="H7" i="1"/>
  <c r="H8" i="1"/>
  <c r="H9" i="1"/>
  <c r="H10" i="1"/>
  <c r="H11" i="1"/>
  <c r="H4" i="1"/>
  <c r="F14" i="1"/>
  <c r="F15" i="1"/>
  <c r="F16" i="1"/>
  <c r="F17" i="1"/>
  <c r="F18" i="1"/>
  <c r="F19" i="1"/>
  <c r="F20" i="1"/>
  <c r="F13" i="1"/>
  <c r="F5" i="1"/>
  <c r="F6" i="1"/>
  <c r="F7" i="1"/>
  <c r="F8" i="1"/>
  <c r="F9" i="1"/>
  <c r="F10" i="1"/>
  <c r="F11" i="1"/>
  <c r="F4" i="1"/>
  <c r="E14" i="1"/>
  <c r="E15" i="1"/>
  <c r="E16" i="1"/>
  <c r="E17" i="1"/>
  <c r="E18" i="1"/>
  <c r="E19" i="1"/>
  <c r="E20" i="1"/>
  <c r="E13" i="1"/>
  <c r="E5" i="1"/>
  <c r="E6" i="1"/>
  <c r="E7" i="1"/>
  <c r="E8" i="1"/>
  <c r="E9" i="1"/>
  <c r="E10" i="1"/>
  <c r="E11" i="1"/>
  <c r="E4" i="1"/>
  <c r="C14" i="1"/>
  <c r="C15" i="1"/>
  <c r="C16" i="1"/>
  <c r="C17" i="1"/>
  <c r="C18" i="1"/>
  <c r="C19" i="1"/>
  <c r="C20" i="1"/>
  <c r="C13" i="1"/>
  <c r="C5" i="1"/>
  <c r="C6" i="1"/>
  <c r="C7" i="1"/>
  <c r="C8" i="1"/>
  <c r="C9" i="1"/>
  <c r="C10" i="1"/>
  <c r="C11" i="1"/>
  <c r="C4" i="1"/>
  <c r="G22" i="1"/>
  <c r="D22" i="1"/>
  <c r="B22" i="1"/>
  <c r="G2" i="1"/>
  <c r="D2" i="1"/>
</calcChain>
</file>

<file path=xl/sharedStrings.xml><?xml version="1.0" encoding="utf-8"?>
<sst xmlns="http://schemas.openxmlformats.org/spreadsheetml/2006/main" count="54" uniqueCount="41">
  <si>
    <t>full_name</t>
  </si>
  <si>
    <t>gt_plan</t>
  </si>
  <si>
    <t>gt_fact</t>
  </si>
  <si>
    <t>micro_plan</t>
  </si>
  <si>
    <t>micro_las_fact</t>
  </si>
  <si>
    <t>micro_lau_fact</t>
  </si>
  <si>
    <t>retrafic_plan</t>
  </si>
  <si>
    <t>retrafic_fact</t>
  </si>
  <si>
    <t>office_hours</t>
  </si>
  <si>
    <t>field_hours</t>
  </si>
  <si>
    <t>Дмитрий Хайдуров</t>
  </si>
  <si>
    <t>0</t>
  </si>
  <si>
    <t>Алена Агаркова</t>
  </si>
  <si>
    <t>Марго Диденко</t>
  </si>
  <si>
    <t>9.5</t>
  </si>
  <si>
    <t>Владлена Попсуйко</t>
  </si>
  <si>
    <t>1</t>
  </si>
  <si>
    <t>27.50</t>
  </si>
  <si>
    <t>Камила Аминова</t>
  </si>
  <si>
    <t>Елена Синько</t>
  </si>
  <si>
    <t>7.5</t>
  </si>
  <si>
    <t>Эмиль Козлов</t>
  </si>
  <si>
    <t>2</t>
  </si>
  <si>
    <t>Даяна Кличханова</t>
  </si>
  <si>
    <t>8.5</t>
  </si>
  <si>
    <t>Барно Матякубова</t>
  </si>
  <si>
    <t xml:space="preserve">Светлана Борухова </t>
  </si>
  <si>
    <t>Руслан Малинин</t>
  </si>
  <si>
    <t>Алексия Ким</t>
  </si>
  <si>
    <t>9</t>
  </si>
  <si>
    <t>Екатерина Харчевникова</t>
  </si>
  <si>
    <t>11</t>
  </si>
  <si>
    <t>Анастасия Акбарова</t>
  </si>
  <si>
    <t>8</t>
  </si>
  <si>
    <t xml:space="preserve">Валентина Бузрукова </t>
  </si>
  <si>
    <t>Александра Умарова</t>
  </si>
  <si>
    <t xml:space="preserve">Сабина Инамова </t>
  </si>
  <si>
    <t>Лада Сорочкина</t>
  </si>
  <si>
    <t>30.50</t>
  </si>
  <si>
    <t>Диана Полищук</t>
  </si>
  <si>
    <t>Богдан Танаилов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</si>
</sst>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_);[Red]\(0.00\)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168" fontId="0" fillId="0" borderId="0" xfId="0" applyNumberForma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triy12\OneDrive%20-%20Philip%20Morris%20International\Desktop\LAMP\SFP\&#1042;&#1099;&#1087;&#1086;&#1083;&#1085;&#1077;&#1085;&#1080;&#1077;%20&#1040;&#1074;&#1075;&#1091;&#1089;&#1090;%20SFP.xlsx" TargetMode="External"/><Relationship Id="rId1" Type="http://schemas.openxmlformats.org/officeDocument/2006/relationships/externalLinkPath" Target="LAMP/SFP/&#1042;&#1099;&#1087;&#1086;&#1083;&#1085;&#1077;&#1085;&#1080;&#1077;%20&#1040;&#1074;&#1075;&#1091;&#1089;&#1090;%20SF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ноябрь25"/>
      <sheetName val="декабрь 25"/>
      <sheetName val="январь 26"/>
      <sheetName val="февраль 26"/>
      <sheetName val="март26"/>
      <sheetName val="Lau Service"/>
      <sheetName val="Апрель26"/>
      <sheetName val="Июль"/>
      <sheetName val="Август"/>
      <sheetName val="Минтс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F3" t="str">
            <v>ФИО РУС ОТЧЕТ</v>
          </cell>
          <cell r="K3" t="str">
            <v>Факт LAS</v>
          </cell>
          <cell r="L3" t="str">
            <v>Факт LAU</v>
          </cell>
          <cell r="T3" t="str">
            <v xml:space="preserve">Факт </v>
          </cell>
          <cell r="AA3" t="str">
            <v>Общий ЛАС/ЛАУ</v>
          </cell>
        </row>
        <row r="4">
          <cell r="F4" t="str">
            <v>Марго Диденко</v>
          </cell>
          <cell r="K4">
            <v>58</v>
          </cell>
          <cell r="L4">
            <v>76</v>
          </cell>
          <cell r="T4">
            <v>12</v>
          </cell>
          <cell r="AA4">
            <v>92</v>
          </cell>
        </row>
        <row r="5">
          <cell r="F5" t="str">
            <v>Владлена Попсуйко</v>
          </cell>
          <cell r="K5">
            <v>43</v>
          </cell>
          <cell r="L5">
            <v>55</v>
          </cell>
          <cell r="T5">
            <v>7</v>
          </cell>
          <cell r="AA5">
            <v>96</v>
          </cell>
        </row>
        <row r="6">
          <cell r="F6" t="str">
            <v>Камила Аминова</v>
          </cell>
          <cell r="K6">
            <v>38</v>
          </cell>
          <cell r="L6">
            <v>48</v>
          </cell>
          <cell r="T6">
            <v>1</v>
          </cell>
          <cell r="AA6">
            <v>80</v>
          </cell>
        </row>
        <row r="7">
          <cell r="F7" t="str">
            <v>Барно Матякубова</v>
          </cell>
          <cell r="K7">
            <v>55</v>
          </cell>
          <cell r="L7">
            <v>51</v>
          </cell>
          <cell r="T7">
            <v>15</v>
          </cell>
          <cell r="AA7">
            <v>105</v>
          </cell>
        </row>
        <row r="8">
          <cell r="F8" t="str">
            <v>Даяна Кличханова</v>
          </cell>
          <cell r="K8">
            <v>61</v>
          </cell>
          <cell r="L8">
            <v>55</v>
          </cell>
          <cell r="T8">
            <v>14</v>
          </cell>
          <cell r="AA8">
            <v>101</v>
          </cell>
        </row>
        <row r="9">
          <cell r="F9" t="str">
            <v>Эмиль Козлов</v>
          </cell>
          <cell r="K9">
            <v>35</v>
          </cell>
          <cell r="L9">
            <v>69</v>
          </cell>
          <cell r="T9">
            <v>6</v>
          </cell>
          <cell r="AA9">
            <v>105</v>
          </cell>
        </row>
        <row r="10">
          <cell r="F10" t="str">
            <v>Елена Синько</v>
          </cell>
          <cell r="K10">
            <v>60</v>
          </cell>
          <cell r="L10">
            <v>98</v>
          </cell>
          <cell r="T10">
            <v>14</v>
          </cell>
          <cell r="AA10">
            <v>158</v>
          </cell>
        </row>
        <row r="11">
          <cell r="F11" t="str">
            <v xml:space="preserve">Светлана Борухова </v>
          </cell>
          <cell r="K11">
            <v>75</v>
          </cell>
          <cell r="L11">
            <v>77</v>
          </cell>
          <cell r="T11">
            <v>13</v>
          </cell>
          <cell r="AA11">
            <v>149</v>
          </cell>
        </row>
        <row r="12">
          <cell r="K12">
            <v>425</v>
          </cell>
          <cell r="L12">
            <v>529</v>
          </cell>
          <cell r="T12">
            <v>82</v>
          </cell>
          <cell r="AA12">
            <v>886</v>
          </cell>
        </row>
        <row r="13">
          <cell r="F13" t="str">
            <v>Александра Умарова</v>
          </cell>
          <cell r="K13">
            <v>50</v>
          </cell>
          <cell r="L13">
            <v>43</v>
          </cell>
          <cell r="T13">
            <v>17</v>
          </cell>
          <cell r="AA13">
            <v>92</v>
          </cell>
        </row>
        <row r="14">
          <cell r="F14" t="str">
            <v xml:space="preserve">Сабина Инамова </v>
          </cell>
          <cell r="K14">
            <v>37</v>
          </cell>
          <cell r="L14">
            <v>49</v>
          </cell>
          <cell r="T14">
            <v>18</v>
          </cell>
          <cell r="AA14">
            <v>94</v>
          </cell>
        </row>
        <row r="15">
          <cell r="F15" t="str">
            <v>Екатерина Харчевникова</v>
          </cell>
          <cell r="K15">
            <v>44</v>
          </cell>
          <cell r="L15">
            <v>75</v>
          </cell>
          <cell r="T15">
            <v>2</v>
          </cell>
          <cell r="AA15">
            <v>94</v>
          </cell>
        </row>
        <row r="16">
          <cell r="F16" t="str">
            <v>Алексия Ким</v>
          </cell>
          <cell r="K16">
            <v>59</v>
          </cell>
          <cell r="L16">
            <v>68</v>
          </cell>
          <cell r="T16">
            <v>5</v>
          </cell>
          <cell r="AA16">
            <v>123</v>
          </cell>
        </row>
        <row r="17">
          <cell r="F17" t="str">
            <v>Лада Сорочкина</v>
          </cell>
          <cell r="K17">
            <v>51</v>
          </cell>
          <cell r="L17">
            <v>66</v>
          </cell>
          <cell r="T17">
            <v>7</v>
          </cell>
          <cell r="AA17">
            <v>70</v>
          </cell>
        </row>
        <row r="18">
          <cell r="F18" t="str">
            <v xml:space="preserve">Валентина Бузрукова </v>
          </cell>
          <cell r="K18">
            <v>25</v>
          </cell>
          <cell r="L18">
            <v>60</v>
          </cell>
          <cell r="T18">
            <v>2</v>
          </cell>
          <cell r="AA18">
            <v>62</v>
          </cell>
        </row>
        <row r="19">
          <cell r="F19" t="str">
            <v>Диана Полищук</v>
          </cell>
          <cell r="K19">
            <v>55</v>
          </cell>
          <cell r="L19">
            <v>70</v>
          </cell>
          <cell r="T19">
            <v>4</v>
          </cell>
          <cell r="AA19">
            <v>135</v>
          </cell>
        </row>
        <row r="20">
          <cell r="F20" t="str">
            <v>Анастасия Акбарова</v>
          </cell>
          <cell r="K20">
            <v>81</v>
          </cell>
          <cell r="L20">
            <v>110</v>
          </cell>
          <cell r="T20">
            <v>13</v>
          </cell>
          <cell r="AA20">
            <v>183</v>
          </cell>
        </row>
        <row r="21">
          <cell r="K21">
            <v>402</v>
          </cell>
          <cell r="L21">
            <v>541</v>
          </cell>
          <cell r="T21">
            <v>68</v>
          </cell>
          <cell r="AA21">
            <v>853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45" zoomScaleNormal="145" workbookViewId="0">
      <selection activeCell="J29" sqref="J29"/>
    </sheetView>
  </sheetViews>
  <sheetFormatPr defaultColWidth="10.28515625" defaultRowHeight="15"/>
  <cols>
    <col min="1" max="1" width="26" customWidth="1"/>
    <col min="2" max="4" width="10.28515625" customWidth="1"/>
    <col min="5" max="5" width="14.85546875" customWidth="1"/>
    <col min="6" max="6" width="15.140625" customWidth="1"/>
    <col min="7" max="7" width="13.140625" customWidth="1"/>
    <col min="8" max="8" width="12.5703125" customWidth="1"/>
    <col min="9" max="9" width="13" customWidth="1"/>
    <col min="10" max="10" width="11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>
      <c r="A2" s="1" t="s">
        <v>10</v>
      </c>
      <c r="B2" s="1">
        <v>1440</v>
      </c>
      <c r="C2" s="1">
        <f t="shared" ref="C2:H2" si="0">SUM(C3,C12)</f>
        <v>1739</v>
      </c>
      <c r="D2" s="1">
        <f t="shared" si="0"/>
        <v>2048</v>
      </c>
      <c r="E2" s="1">
        <f t="shared" si="0"/>
        <v>827</v>
      </c>
      <c r="F2" s="1">
        <f t="shared" si="0"/>
        <v>1070</v>
      </c>
      <c r="G2" s="1">
        <f t="shared" si="0"/>
        <v>240</v>
      </c>
      <c r="H2" s="1">
        <f t="shared" si="0"/>
        <v>150</v>
      </c>
      <c r="I2" s="2" t="s">
        <v>11</v>
      </c>
      <c r="J2" s="2" t="s">
        <v>11</v>
      </c>
    </row>
    <row r="3" spans="1:10" s="1" customFormat="1">
      <c r="A3" s="1" t="s">
        <v>12</v>
      </c>
      <c r="B3" s="1">
        <v>720</v>
      </c>
      <c r="C3" s="1">
        <f>SUM(C4:C11)</f>
        <v>886</v>
      </c>
      <c r="D3" s="1">
        <v>1024</v>
      </c>
      <c r="E3" s="1">
        <f>SUM(E4:E11)</f>
        <v>425</v>
      </c>
      <c r="F3" s="1">
        <f>SUM(F4:F11)</f>
        <v>529</v>
      </c>
      <c r="G3" s="1">
        <v>120</v>
      </c>
      <c r="H3" s="1">
        <f>SUM(H4:H11)</f>
        <v>82</v>
      </c>
      <c r="I3" s="2" t="s">
        <v>11</v>
      </c>
      <c r="J3" s="2" t="s">
        <v>11</v>
      </c>
    </row>
    <row r="4" spans="1:10">
      <c r="A4" t="s">
        <v>13</v>
      </c>
      <c r="B4">
        <v>90</v>
      </c>
      <c r="C4">
        <f>_xlfn.XLOOKUP(A4,[1]Август!$F:$F,[1]Август!$AA:$AA,0)</f>
        <v>92</v>
      </c>
      <c r="D4">
        <v>128</v>
      </c>
      <c r="E4">
        <f>_xlfn.XLOOKUP(A4,[1]Август!$F:$F,[1]Август!$K:$K,0)</f>
        <v>58</v>
      </c>
      <c r="F4">
        <f>_xlfn.XLOOKUP(A4,[1]Август!$F:$F,[1]Август!$L:$L,0)</f>
        <v>76</v>
      </c>
      <c r="G4">
        <v>15</v>
      </c>
      <c r="H4">
        <f>_xlfn.XLOOKUP(A4,[1]Август!$F:$F,[1]Август!$T:$T,0)</f>
        <v>12</v>
      </c>
      <c r="I4" s="3" t="s">
        <v>14</v>
      </c>
      <c r="J4" s="4">
        <v>44</v>
      </c>
    </row>
    <row r="5" spans="1:10">
      <c r="A5" t="s">
        <v>15</v>
      </c>
      <c r="B5">
        <v>90</v>
      </c>
      <c r="C5">
        <f>_xlfn.XLOOKUP(A5,[1]Август!$F:$F,[1]Август!$AA:$AA,0)</f>
        <v>96</v>
      </c>
      <c r="D5">
        <v>128</v>
      </c>
      <c r="E5">
        <f>_xlfn.XLOOKUP(A5,[1]Август!$F:$F,[1]Август!$K:$K,0)</f>
        <v>43</v>
      </c>
      <c r="F5">
        <f>_xlfn.XLOOKUP(A5,[1]Август!$F:$F,[1]Август!$L:$L,0)</f>
        <v>55</v>
      </c>
      <c r="G5">
        <v>15</v>
      </c>
      <c r="H5">
        <f>_xlfn.XLOOKUP(A5,[1]Август!$F:$F,[1]Август!$T:$T,0)</f>
        <v>7</v>
      </c>
      <c r="I5" s="3" t="s">
        <v>16</v>
      </c>
      <c r="J5" s="4" t="s">
        <v>17</v>
      </c>
    </row>
    <row r="6" spans="1:10">
      <c r="A6" t="s">
        <v>18</v>
      </c>
      <c r="B6">
        <v>90</v>
      </c>
      <c r="C6">
        <f>_xlfn.XLOOKUP(A6,[1]Август!$F:$F,[1]Август!$AA:$AA,0)</f>
        <v>80</v>
      </c>
      <c r="D6">
        <v>128</v>
      </c>
      <c r="E6">
        <f>_xlfn.XLOOKUP(A6,[1]Август!$F:$F,[1]Август!$K:$K,0)</f>
        <v>38</v>
      </c>
      <c r="F6">
        <f>_xlfn.XLOOKUP(A6,[1]Август!$F:$F,[1]Август!$L:$L,0)</f>
        <v>48</v>
      </c>
      <c r="G6">
        <v>15</v>
      </c>
      <c r="H6">
        <f>_xlfn.XLOOKUP(A6,[1]Август!$F:$F,[1]Август!$T:$T,0)</f>
        <v>1</v>
      </c>
      <c r="I6" s="3" t="s">
        <v>11</v>
      </c>
      <c r="J6" s="4">
        <v>26</v>
      </c>
    </row>
    <row r="7" spans="1:10">
      <c r="A7" t="s">
        <v>19</v>
      </c>
      <c r="B7">
        <v>90</v>
      </c>
      <c r="C7">
        <f>_xlfn.XLOOKUP(A7,[1]Август!$F:$F,[1]Август!$AA:$AA,0)</f>
        <v>158</v>
      </c>
      <c r="D7">
        <v>128</v>
      </c>
      <c r="E7">
        <f>_xlfn.XLOOKUP(A7,[1]Август!$F:$F,[1]Август!$K:$K,0)</f>
        <v>60</v>
      </c>
      <c r="F7">
        <f>_xlfn.XLOOKUP(A7,[1]Август!$F:$F,[1]Август!$L:$L,0)</f>
        <v>98</v>
      </c>
      <c r="G7">
        <v>15</v>
      </c>
      <c r="H7">
        <f>_xlfn.XLOOKUP(A7,[1]Август!$F:$F,[1]Август!$T:$T,0)</f>
        <v>14</v>
      </c>
      <c r="I7" s="3" t="s">
        <v>20</v>
      </c>
      <c r="J7" s="4">
        <v>43</v>
      </c>
    </row>
    <row r="8" spans="1:10">
      <c r="A8" t="s">
        <v>21</v>
      </c>
      <c r="B8">
        <v>90</v>
      </c>
      <c r="C8">
        <f>_xlfn.XLOOKUP(A8,[1]Август!$F:$F,[1]Август!$AA:$AA,0)</f>
        <v>105</v>
      </c>
      <c r="D8">
        <v>128</v>
      </c>
      <c r="E8">
        <f>_xlfn.XLOOKUP(A8,[1]Август!$F:$F,[1]Август!$K:$K,0)</f>
        <v>35</v>
      </c>
      <c r="F8">
        <f>_xlfn.XLOOKUP(A8,[1]Август!$F:$F,[1]Август!$L:$L,0)</f>
        <v>69</v>
      </c>
      <c r="G8">
        <v>15</v>
      </c>
      <c r="H8">
        <f>_xlfn.XLOOKUP(A8,[1]Август!$F:$F,[1]Август!$T:$T,0)</f>
        <v>6</v>
      </c>
      <c r="I8" s="3" t="s">
        <v>22</v>
      </c>
      <c r="J8" s="4">
        <v>28</v>
      </c>
    </row>
    <row r="9" spans="1:10">
      <c r="A9" t="s">
        <v>23</v>
      </c>
      <c r="B9">
        <v>90</v>
      </c>
      <c r="C9">
        <f>_xlfn.XLOOKUP(A9,[1]Август!$F:$F,[1]Август!$AA:$AA,0)</f>
        <v>101</v>
      </c>
      <c r="D9">
        <v>128</v>
      </c>
      <c r="E9">
        <f>_xlfn.XLOOKUP(A9,[1]Август!$F:$F,[1]Август!$K:$K,0)</f>
        <v>61</v>
      </c>
      <c r="F9">
        <f>_xlfn.XLOOKUP(A9,[1]Август!$F:$F,[1]Август!$L:$L,0)</f>
        <v>55</v>
      </c>
      <c r="G9">
        <v>15</v>
      </c>
      <c r="H9">
        <f>_xlfn.XLOOKUP(A9,[1]Август!$F:$F,[1]Август!$T:$T,0)</f>
        <v>14</v>
      </c>
      <c r="I9" s="3" t="s">
        <v>24</v>
      </c>
      <c r="J9" s="4">
        <v>31</v>
      </c>
    </row>
    <row r="10" spans="1:10">
      <c r="A10" t="s">
        <v>25</v>
      </c>
      <c r="B10">
        <v>90</v>
      </c>
      <c r="C10">
        <f>_xlfn.XLOOKUP(A10,[1]Август!$F:$F,[1]Август!$AA:$AA,0)</f>
        <v>105</v>
      </c>
      <c r="D10">
        <v>128</v>
      </c>
      <c r="E10">
        <f>_xlfn.XLOOKUP(A10,[1]Август!$F:$F,[1]Август!$K:$K,0)</f>
        <v>55</v>
      </c>
      <c r="F10">
        <f>_xlfn.XLOOKUP(A10,[1]Август!$F:$F,[1]Август!$L:$L,0)</f>
        <v>51</v>
      </c>
      <c r="G10">
        <v>15</v>
      </c>
      <c r="H10">
        <f>_xlfn.XLOOKUP(A10,[1]Август!$F:$F,[1]Август!$T:$T,0)</f>
        <v>15</v>
      </c>
      <c r="I10" s="3" t="s">
        <v>20</v>
      </c>
      <c r="J10" s="4">
        <v>35</v>
      </c>
    </row>
    <row r="11" spans="1:10">
      <c r="A11" t="s">
        <v>26</v>
      </c>
      <c r="B11">
        <v>90</v>
      </c>
      <c r="C11">
        <f>_xlfn.XLOOKUP(A11,[1]Август!$F:$F,[1]Август!$AA:$AA,0)</f>
        <v>149</v>
      </c>
      <c r="D11">
        <v>128</v>
      </c>
      <c r="E11">
        <f>_xlfn.XLOOKUP(A11,[1]Август!$F:$F,[1]Август!$K:$K,0)</f>
        <v>75</v>
      </c>
      <c r="F11">
        <f>_xlfn.XLOOKUP(A11,[1]Август!$F:$F,[1]Август!$L:$L,0)</f>
        <v>77</v>
      </c>
      <c r="G11">
        <v>15</v>
      </c>
      <c r="H11">
        <f>_xlfn.XLOOKUP(A11,[1]Август!$F:$F,[1]Август!$T:$T,0)</f>
        <v>13</v>
      </c>
      <c r="I11" s="3" t="s">
        <v>22</v>
      </c>
      <c r="J11" s="4">
        <v>36</v>
      </c>
    </row>
    <row r="12" spans="1:10" s="1" customFormat="1">
      <c r="A12" s="1" t="s">
        <v>27</v>
      </c>
      <c r="B12" s="1">
        <v>720</v>
      </c>
      <c r="C12" s="1">
        <f>SUM(C13:C20)</f>
        <v>853</v>
      </c>
      <c r="D12" s="1">
        <v>1024</v>
      </c>
      <c r="E12" s="1">
        <f>SUM(E13:E20)</f>
        <v>402</v>
      </c>
      <c r="F12" s="1">
        <f>SUM(F13:F20)</f>
        <v>541</v>
      </c>
      <c r="G12" s="1">
        <v>120</v>
      </c>
      <c r="H12" s="1">
        <f>SUM(H13:H20)</f>
        <v>68</v>
      </c>
      <c r="I12" s="2" t="s">
        <v>11</v>
      </c>
      <c r="J12" s="2" t="s">
        <v>11</v>
      </c>
    </row>
    <row r="13" spans="1:10">
      <c r="A13" t="s">
        <v>28</v>
      </c>
      <c r="B13">
        <v>90</v>
      </c>
      <c r="C13">
        <f>_xlfn.XLOOKUP(A13,[1]Август!$F:$F,[1]Август!$AA:$AA,0)</f>
        <v>123</v>
      </c>
      <c r="D13">
        <v>128</v>
      </c>
      <c r="E13">
        <f>_xlfn.XLOOKUP(A13,[1]Август!$F:$F,[1]Август!$K:$K,0)</f>
        <v>59</v>
      </c>
      <c r="F13">
        <f>_xlfn.XLOOKUP(A13,[1]Август!$F:$F,[1]Август!$L:$L,0)</f>
        <v>68</v>
      </c>
      <c r="G13">
        <v>15</v>
      </c>
      <c r="H13">
        <f>_xlfn.XLOOKUP(A13,[1]Август!$F:$F,[1]Август!$T:$T,0)</f>
        <v>5</v>
      </c>
      <c r="I13" s="3" t="s">
        <v>29</v>
      </c>
      <c r="J13" s="4">
        <v>37</v>
      </c>
    </row>
    <row r="14" spans="1:10">
      <c r="A14" t="s">
        <v>30</v>
      </c>
      <c r="B14">
        <v>90</v>
      </c>
      <c r="C14">
        <f>_xlfn.XLOOKUP(A14,[1]Август!$F:$F,[1]Август!$AA:$AA,0)</f>
        <v>94</v>
      </c>
      <c r="D14">
        <v>128</v>
      </c>
      <c r="E14">
        <f>_xlfn.XLOOKUP(A14,[1]Август!$F:$F,[1]Август!$K:$K,0)</f>
        <v>44</v>
      </c>
      <c r="F14">
        <f>_xlfn.XLOOKUP(A14,[1]Август!$F:$F,[1]Август!$L:$L,0)</f>
        <v>75</v>
      </c>
      <c r="G14">
        <v>15</v>
      </c>
      <c r="H14">
        <f>_xlfn.XLOOKUP(A14,[1]Август!$F:$F,[1]Август!$T:$T,0)</f>
        <v>2</v>
      </c>
      <c r="I14" s="3" t="s">
        <v>31</v>
      </c>
      <c r="J14" s="4">
        <v>32</v>
      </c>
    </row>
    <row r="15" spans="1:10">
      <c r="A15" t="s">
        <v>32</v>
      </c>
      <c r="B15">
        <v>90</v>
      </c>
      <c r="C15">
        <f>_xlfn.XLOOKUP(A15,[1]Август!$F:$F,[1]Август!$AA:$AA,0)</f>
        <v>183</v>
      </c>
      <c r="D15">
        <v>128</v>
      </c>
      <c r="E15">
        <f>_xlfn.XLOOKUP(A15,[1]Август!$F:$F,[1]Август!$K:$K,0)</f>
        <v>81</v>
      </c>
      <c r="F15">
        <f>_xlfn.XLOOKUP(A15,[1]Август!$F:$F,[1]Август!$L:$L,0)</f>
        <v>110</v>
      </c>
      <c r="G15">
        <v>15</v>
      </c>
      <c r="H15">
        <f>_xlfn.XLOOKUP(A15,[1]Август!$F:$F,[1]Август!$T:$T,0)</f>
        <v>13</v>
      </c>
      <c r="I15" s="3" t="s">
        <v>33</v>
      </c>
      <c r="J15" s="4">
        <v>39</v>
      </c>
    </row>
    <row r="16" spans="1:10">
      <c r="A16" t="s">
        <v>34</v>
      </c>
      <c r="B16">
        <v>90</v>
      </c>
      <c r="C16">
        <f>_xlfn.XLOOKUP(A16,[1]Август!$F:$F,[1]Август!$AA:$AA,0)</f>
        <v>62</v>
      </c>
      <c r="D16">
        <v>128</v>
      </c>
      <c r="E16">
        <f>_xlfn.XLOOKUP(A16,[1]Август!$F:$F,[1]Август!$K:$K,0)</f>
        <v>25</v>
      </c>
      <c r="F16">
        <f>_xlfn.XLOOKUP(A16,[1]Август!$F:$F,[1]Август!$L:$L,0)</f>
        <v>60</v>
      </c>
      <c r="G16">
        <v>15</v>
      </c>
      <c r="H16">
        <f>_xlfn.XLOOKUP(A16,[1]Август!$F:$F,[1]Август!$T:$T,0)</f>
        <v>2</v>
      </c>
      <c r="I16" s="3" t="s">
        <v>24</v>
      </c>
      <c r="J16" s="4">
        <v>22</v>
      </c>
    </row>
    <row r="17" spans="1:10">
      <c r="A17" t="s">
        <v>35</v>
      </c>
      <c r="B17">
        <v>90</v>
      </c>
      <c r="C17">
        <f>_xlfn.XLOOKUP(A17,[1]Август!$F:$F,[1]Август!$AA:$AA,0)</f>
        <v>92</v>
      </c>
      <c r="D17">
        <v>128</v>
      </c>
      <c r="E17">
        <f>_xlfn.XLOOKUP(A17,[1]Август!$F:$F,[1]Август!$K:$K,0)</f>
        <v>50</v>
      </c>
      <c r="F17">
        <f>_xlfn.XLOOKUP(A17,[1]Август!$F:$F,[1]Август!$L:$L,0)</f>
        <v>43</v>
      </c>
      <c r="G17">
        <v>15</v>
      </c>
      <c r="H17">
        <f>_xlfn.XLOOKUP(A17,[1]Август!$F:$F,[1]Август!$T:$T,0)</f>
        <v>17</v>
      </c>
      <c r="I17" s="3" t="s">
        <v>29</v>
      </c>
      <c r="J17" s="4">
        <v>34</v>
      </c>
    </row>
    <row r="18" spans="1:10">
      <c r="A18" t="s">
        <v>36</v>
      </c>
      <c r="B18">
        <v>90</v>
      </c>
      <c r="C18">
        <f>_xlfn.XLOOKUP(A18,[1]Август!$F:$F,[1]Август!$AA:$AA,0)</f>
        <v>94</v>
      </c>
      <c r="D18">
        <v>128</v>
      </c>
      <c r="E18">
        <f>_xlfn.XLOOKUP(A18,[1]Август!$F:$F,[1]Август!$K:$K,0)</f>
        <v>37</v>
      </c>
      <c r="F18">
        <f>_xlfn.XLOOKUP(A18,[1]Август!$F:$F,[1]Август!$L:$L,0)</f>
        <v>49</v>
      </c>
      <c r="G18">
        <v>15</v>
      </c>
      <c r="H18">
        <f>_xlfn.XLOOKUP(A18,[1]Август!$F:$F,[1]Август!$T:$T,0)</f>
        <v>18</v>
      </c>
      <c r="I18" s="3" t="s">
        <v>22</v>
      </c>
      <c r="J18" s="4">
        <v>16</v>
      </c>
    </row>
    <row r="19" spans="1:10">
      <c r="A19" t="s">
        <v>37</v>
      </c>
      <c r="B19">
        <v>90</v>
      </c>
      <c r="C19">
        <f>_xlfn.XLOOKUP(A19,[1]Август!$F:$F,[1]Август!$AA:$AA,0)</f>
        <v>70</v>
      </c>
      <c r="D19">
        <v>128</v>
      </c>
      <c r="E19">
        <f>_xlfn.XLOOKUP(A19,[1]Август!$F:$F,[1]Август!$K:$K,0)</f>
        <v>51</v>
      </c>
      <c r="F19">
        <f>_xlfn.XLOOKUP(A19,[1]Август!$F:$F,[1]Август!$L:$L,0)</f>
        <v>66</v>
      </c>
      <c r="G19">
        <v>15</v>
      </c>
      <c r="H19">
        <f>_xlfn.XLOOKUP(A19,[1]Август!$F:$F,[1]Август!$T:$T,0)</f>
        <v>7</v>
      </c>
      <c r="I19" s="3" t="s">
        <v>31</v>
      </c>
      <c r="J19" s="4" t="s">
        <v>38</v>
      </c>
    </row>
    <row r="20" spans="1:10">
      <c r="A20" t="s">
        <v>39</v>
      </c>
      <c r="B20">
        <v>90</v>
      </c>
      <c r="C20">
        <f>_xlfn.XLOOKUP(A20,[1]Август!$F:$F,[1]Август!$AA:$AA,0)</f>
        <v>135</v>
      </c>
      <c r="D20">
        <v>128</v>
      </c>
      <c r="E20">
        <f>_xlfn.XLOOKUP(A20,[1]Август!$F:$F,[1]Август!$K:$K,0)</f>
        <v>55</v>
      </c>
      <c r="F20">
        <f>_xlfn.XLOOKUP(A20,[1]Август!$F:$F,[1]Август!$L:$L,0)</f>
        <v>70</v>
      </c>
      <c r="G20">
        <v>15</v>
      </c>
      <c r="H20">
        <f>_xlfn.XLOOKUP(A20,[1]Август!$F:$F,[1]Август!$T:$T,0)</f>
        <v>4</v>
      </c>
      <c r="I20" s="3" t="s">
        <v>11</v>
      </c>
      <c r="J20" s="4">
        <v>29</v>
      </c>
    </row>
    <row r="22" spans="1:10">
      <c r="A22" t="s">
        <v>40</v>
      </c>
      <c r="B22">
        <f>B2</f>
        <v>1440</v>
      </c>
      <c r="C22">
        <f t="shared" ref="C22:H22" si="1">C2</f>
        <v>1739</v>
      </c>
      <c r="D22">
        <f t="shared" si="1"/>
        <v>2048</v>
      </c>
      <c r="E22">
        <f t="shared" si="1"/>
        <v>827</v>
      </c>
      <c r="F22">
        <f t="shared" si="1"/>
        <v>1070</v>
      </c>
      <c r="G22">
        <f t="shared" si="1"/>
        <v>240</v>
      </c>
      <c r="H22">
        <f t="shared" si="1"/>
        <v>150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XLS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DMITRIYEVA, ANASTASIYA (contracted)</dc:creator>
  <cp:lastModifiedBy>DMITRIYEVA, ANASTASIYA (contracted)</cp:lastModifiedBy>
  <dcterms:created xsi:type="dcterms:W3CDTF">2026-08-18T21:48:00Z</dcterms:created>
  <dcterms:modified xsi:type="dcterms:W3CDTF">2026-08-21T09:08:51Z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8D7EB0597F2E4EC4BF013859B9E4DF26_13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