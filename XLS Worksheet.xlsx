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XLS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<sst xmlns="http://schemas.openxmlformats.org/spreadsheetml/2006/main" count="54" uniqueCount="41">
  <si>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full_name</t>
  </si>
  <si>
    <t>gt_plan</t>
  </si>
  <si>
    <t>gt_fact</t>
  </si>
  <si>
    <t>micro_plan</t>
  </si>
  <si>
    <t>micro_las_fact</t>
  </si>
  <si>
    <t>micro_lau_fact</t>
  </si>
  <si>
    <t>retrafic_plan</t>
  </si>
  <si>
    <t>retrafic_fact</t>
  </si>
  <si>
    <t>office_hours</t>
  </si>
  <si>
    <t>field_hours</t>
  </si>
  <si>
    <t>Дмитрий Хайдуров</t>
  </si>
  <si>
    <t>0</t>
  </si>
  <si>
    <t>Алена Агаркова</t>
  </si>
  <si>
    <t>Марго Диденко</t>
  </si>
  <si>
    <t>9.5</t>
  </si>
  <si>
    <t>Владлена Попсуйко</t>
  </si>
  <si>
    <t>1</t>
  </si>
  <si>
    <t>27.50</t>
  </si>
  <si>
    <t>Камила Аминова</t>
  </si>
  <si>
    <t>Елена Синько</t>
  </si>
  <si>
    <t>7.5</t>
  </si>
  <si>
    <t>Эмиль Козлов</t>
  </si>
  <si>
    <t>2</t>
  </si>
  <si>
    <t>Даяна Кличханова</t>
  </si>
  <si>
    <t>8.5</t>
  </si>
  <si>
    <t>Барно Матякубова</t>
  </si>
  <si>
    <t xml:space="preserve">Светлана Борухова </t>
  </si>
  <si>
    <t>Руслан Малинин</t>
  </si>
  <si>
    <t>Алексия Ким</t>
  </si>
  <si>
    <t>9</t>
  </si>
  <si>
    <t>Екатерина Харчевникова</t>
  </si>
  <si>
    <t>11</t>
  </si>
  <si>
    <t>Анастасия Акбарова</t>
  </si>
  <si>
    <t>8</t>
  </si>
  <si>
    <t xml:space="preserve">Валентина Бузрукова </t>
  </si>
  <si>
    <t>Александра Умарова</t>
  </si>
  <si>
    <t xml:space="preserve">Сабина Инамова </t>
  </si>
  <si>
    <t>Лада Сорочкина</t>
  </si>
  <si>
    <t>30.50</t>
  </si>
  <si>
    <t>Диана Полищук</t>
  </si>
  <si>
    <t>Богдан Танаилов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</si>
</sst>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  <numFmt numFmtId="180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zoomScaleSheetLayoutView="60" workbookViewId="0">
      <selection activeCell="F29" sqref="F28:F29"/>
    </sheetView>
  </sheetViews>
  <sheetFormatPr defaultColWidth="10.2857142857143" defaultRowHeight="15"/>
  <cols>
    <col min="1" max="1" width="26" customWidth="1"/>
    <col min="2" max="4" width="10.2857142857143" customWidth="1"/>
    <col min="5" max="5" width="14.8571428571429" customWidth="1"/>
    <col min="6" max="6" width="15.1428571428571" customWidth="1"/>
    <col min="7" max="7" width="13.1428571428571" customWidth="1"/>
    <col min="8" max="8" width="12.5714285714286" customWidth="1"/>
    <col min="9" max="9" width="13" customWidth="1"/>
    <col min="10" max="10" width="11.857142857142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="1" customFormat="1" spans="1:10">
      <c r="A2" s="1" t="s">
        <v>10</v>
      </c>
      <c r="B2" s="1">
        <v>1440</v>
      </c>
      <c r="C2" s="1">
        <f t="shared" ref="C2:H2" si="0">SUM(C3,C12)</f>
        <v>1252</v>
      </c>
      <c r="D2" s="1">
        <f t="shared" si="0"/>
        <v>2048</v>
      </c>
      <c r="E2" s="1">
        <f t="shared" si="0"/>
        <v>682</v>
      </c>
      <c r="F2" s="1">
        <f t="shared" si="0"/>
        <v>983</v>
      </c>
      <c r="G2" s="1">
        <f t="shared" si="0"/>
        <v>240</v>
      </c>
      <c r="H2" s="1">
        <f t="shared" si="0"/>
        <v>150</v>
      </c>
      <c r="I2" s="2" t="s">
        <v>11</v>
      </c>
      <c r="J2" s="2" t="s">
        <v>11</v>
      </c>
    </row>
    <row r="3" s="1" customFormat="1" spans="1:10">
      <c r="A3" s="1" t="s">
        <v>12</v>
      </c>
      <c r="B3" s="1">
        <v>720</v>
      </c>
      <c r="C3" s="1">
        <v>686</v>
      </c>
      <c r="D3" s="1">
        <v>1024</v>
      </c>
      <c r="E3" s="1">
        <v>347</v>
      </c>
      <c r="F3" s="1">
        <v>495</v>
      </c>
      <c r="G3" s="1">
        <v>120</v>
      </c>
      <c r="H3" s="1">
        <v>82</v>
      </c>
      <c r="I3" s="2" t="s">
        <v>11</v>
      </c>
      <c r="J3" s="2" t="s">
        <v>11</v>
      </c>
    </row>
    <row r="4" spans="1:10">
      <c r="A4" t="s">
        <v>13</v>
      </c>
      <c r="B4">
        <v>90</v>
      </c>
      <c r="C4">
        <v>73</v>
      </c>
      <c r="D4">
        <v>128</v>
      </c>
      <c r="E4">
        <v>50</v>
      </c>
      <c r="F4">
        <v>74</v>
      </c>
      <c r="G4">
        <v>15</v>
      </c>
      <c r="H4">
        <v>12</v>
      </c>
      <c r="I4" s="3" t="s">
        <v>14</v>
      </c>
      <c r="J4" s="4">
        <v>44</v>
      </c>
    </row>
    <row r="5" spans="1:10">
      <c r="A5" t="s">
        <v>15</v>
      </c>
      <c r="B5">
        <v>90</v>
      </c>
      <c r="C5">
        <v>57</v>
      </c>
      <c r="D5">
        <v>128</v>
      </c>
      <c r="E5">
        <v>35</v>
      </c>
      <c r="F5">
        <v>50</v>
      </c>
      <c r="G5">
        <v>15</v>
      </c>
      <c r="H5">
        <v>7</v>
      </c>
      <c r="I5" s="3" t="s">
        <v>16</v>
      </c>
      <c r="J5" s="4" t="s">
        <v>17</v>
      </c>
    </row>
    <row r="6" spans="1:10">
      <c r="A6" t="s">
        <v>18</v>
      </c>
      <c r="B6">
        <v>90</v>
      </c>
      <c r="C6">
        <v>55</v>
      </c>
      <c r="D6">
        <v>128</v>
      </c>
      <c r="E6">
        <v>20</v>
      </c>
      <c r="F6">
        <v>38</v>
      </c>
      <c r="G6">
        <v>15</v>
      </c>
      <c r="H6">
        <v>1</v>
      </c>
      <c r="I6" s="3" t="s">
        <v>11</v>
      </c>
      <c r="J6" s="4">
        <v>26</v>
      </c>
    </row>
    <row r="7" spans="1:10">
      <c r="A7" s="5" t="s">
        <v>19</v>
      </c>
      <c r="B7">
        <v>90</v>
      </c>
      <c r="C7">
        <v>144</v>
      </c>
      <c r="D7">
        <v>128</v>
      </c>
      <c r="E7">
        <v>53</v>
      </c>
      <c r="F7">
        <v>102</v>
      </c>
      <c r="G7">
        <v>15</v>
      </c>
      <c r="H7">
        <v>14</v>
      </c>
      <c r="I7" s="3" t="s">
        <v>20</v>
      </c>
      <c r="J7" s="4">
        <v>43</v>
      </c>
    </row>
    <row r="8" spans="1:10">
      <c r="A8" t="s">
        <v>21</v>
      </c>
      <c r="B8">
        <v>90</v>
      </c>
      <c r="C8">
        <v>75</v>
      </c>
      <c r="D8">
        <v>128</v>
      </c>
      <c r="E8">
        <v>30</v>
      </c>
      <c r="F8">
        <v>66</v>
      </c>
      <c r="G8">
        <v>15</v>
      </c>
      <c r="H8">
        <v>6</v>
      </c>
      <c r="I8" s="3" t="s">
        <v>22</v>
      </c>
      <c r="J8" s="4">
        <v>28</v>
      </c>
    </row>
    <row r="9" spans="1:10">
      <c r="A9" t="s">
        <v>23</v>
      </c>
      <c r="B9">
        <v>90</v>
      </c>
      <c r="C9">
        <v>72</v>
      </c>
      <c r="D9">
        <v>128</v>
      </c>
      <c r="E9">
        <v>39</v>
      </c>
      <c r="F9">
        <v>44</v>
      </c>
      <c r="G9">
        <v>15</v>
      </c>
      <c r="H9">
        <v>14</v>
      </c>
      <c r="I9" s="3" t="s">
        <v>24</v>
      </c>
      <c r="J9" s="4">
        <v>31</v>
      </c>
    </row>
    <row r="10" spans="1:10">
      <c r="A10" t="s">
        <v>25</v>
      </c>
      <c r="B10">
        <v>90</v>
      </c>
      <c r="C10">
        <v>66</v>
      </c>
      <c r="D10">
        <v>128</v>
      </c>
      <c r="E10">
        <v>47</v>
      </c>
      <c r="F10">
        <v>46</v>
      </c>
      <c r="G10">
        <v>15</v>
      </c>
      <c r="H10">
        <v>15</v>
      </c>
      <c r="I10" s="3" t="s">
        <v>20</v>
      </c>
      <c r="J10" s="4">
        <v>35</v>
      </c>
    </row>
    <row r="11" spans="1:10">
      <c r="A11" t="s">
        <v>26</v>
      </c>
      <c r="B11">
        <v>90</v>
      </c>
      <c r="C11">
        <v>144</v>
      </c>
      <c r="D11">
        <v>128</v>
      </c>
      <c r="E11">
        <v>73</v>
      </c>
      <c r="F11">
        <v>75</v>
      </c>
      <c r="G11">
        <v>15</v>
      </c>
      <c r="H11">
        <v>13</v>
      </c>
      <c r="I11" s="3" t="s">
        <v>22</v>
      </c>
      <c r="J11" s="4">
        <v>36</v>
      </c>
    </row>
    <row r="12" s="1" customFormat="1" spans="1:10">
      <c r="A12" s="1" t="s">
        <v>27</v>
      </c>
      <c r="B12" s="1">
        <v>720</v>
      </c>
      <c r="C12" s="1">
        <v>566</v>
      </c>
      <c r="D12" s="1">
        <v>1024</v>
      </c>
      <c r="E12" s="1">
        <v>335</v>
      </c>
      <c r="F12" s="1">
        <v>488</v>
      </c>
      <c r="G12" s="1">
        <v>120</v>
      </c>
      <c r="H12" s="1">
        <v>68</v>
      </c>
      <c r="I12" s="2" t="s">
        <v>11</v>
      </c>
      <c r="J12" s="2" t="s">
        <v>11</v>
      </c>
    </row>
    <row r="13" spans="1:10">
      <c r="A13" t="s">
        <v>28</v>
      </c>
      <c r="B13">
        <v>90</v>
      </c>
      <c r="C13">
        <v>55</v>
      </c>
      <c r="D13">
        <v>128</v>
      </c>
      <c r="E13">
        <v>55</v>
      </c>
      <c r="F13">
        <v>52</v>
      </c>
      <c r="G13">
        <v>15</v>
      </c>
      <c r="H13">
        <v>5</v>
      </c>
      <c r="I13" s="3" t="s">
        <v>29</v>
      </c>
      <c r="J13" s="4">
        <v>37</v>
      </c>
    </row>
    <row r="14" spans="1:10">
      <c r="A14" t="s">
        <v>30</v>
      </c>
      <c r="B14">
        <v>90</v>
      </c>
      <c r="C14">
        <v>78</v>
      </c>
      <c r="D14">
        <v>128</v>
      </c>
      <c r="E14">
        <v>40</v>
      </c>
      <c r="F14">
        <v>70</v>
      </c>
      <c r="G14">
        <v>15</v>
      </c>
      <c r="H14">
        <v>2</v>
      </c>
      <c r="I14" s="3" t="s">
        <v>31</v>
      </c>
      <c r="J14" s="4">
        <v>32</v>
      </c>
    </row>
    <row r="15" spans="1:10">
      <c r="A15" t="s">
        <v>32</v>
      </c>
      <c r="B15">
        <v>90</v>
      </c>
      <c r="C15">
        <v>103</v>
      </c>
      <c r="D15">
        <v>128</v>
      </c>
      <c r="E15">
        <v>74</v>
      </c>
      <c r="F15">
        <v>106</v>
      </c>
      <c r="G15">
        <v>15</v>
      </c>
      <c r="H15">
        <v>13</v>
      </c>
      <c r="I15" s="3" t="s">
        <v>33</v>
      </c>
      <c r="J15" s="4">
        <v>39</v>
      </c>
    </row>
    <row r="16" spans="1:10">
      <c r="A16" t="s">
        <v>34</v>
      </c>
      <c r="B16">
        <v>90</v>
      </c>
      <c r="C16">
        <v>52</v>
      </c>
      <c r="D16">
        <v>128</v>
      </c>
      <c r="E16">
        <v>15</v>
      </c>
      <c r="F16">
        <v>59</v>
      </c>
      <c r="G16">
        <v>15</v>
      </c>
      <c r="H16">
        <v>2</v>
      </c>
      <c r="I16" s="3" t="s">
        <v>24</v>
      </c>
      <c r="J16" s="4">
        <v>22</v>
      </c>
    </row>
    <row r="17" spans="1:10">
      <c r="A17" t="s">
        <v>35</v>
      </c>
      <c r="B17">
        <v>90</v>
      </c>
      <c r="C17">
        <v>57</v>
      </c>
      <c r="D17">
        <v>128</v>
      </c>
      <c r="E17">
        <v>46</v>
      </c>
      <c r="F17">
        <v>38</v>
      </c>
      <c r="G17">
        <v>15</v>
      </c>
      <c r="H17">
        <v>17</v>
      </c>
      <c r="I17" s="3" t="s">
        <v>29</v>
      </c>
      <c r="J17" s="4">
        <v>34</v>
      </c>
    </row>
    <row r="18" spans="1:10">
      <c r="A18" t="s">
        <v>36</v>
      </c>
      <c r="B18">
        <v>90</v>
      </c>
      <c r="C18">
        <v>56</v>
      </c>
      <c r="D18">
        <v>128</v>
      </c>
      <c r="E18">
        <v>22</v>
      </c>
      <c r="F18">
        <v>31</v>
      </c>
      <c r="G18">
        <v>15</v>
      </c>
      <c r="H18">
        <v>18</v>
      </c>
      <c r="I18" s="3" t="s">
        <v>22</v>
      </c>
      <c r="J18" s="4">
        <v>16</v>
      </c>
    </row>
    <row r="19" spans="1:10">
      <c r="A19" t="s">
        <v>37</v>
      </c>
      <c r="B19">
        <v>90</v>
      </c>
      <c r="C19">
        <v>63</v>
      </c>
      <c r="D19">
        <v>128</v>
      </c>
      <c r="E19">
        <v>35</v>
      </c>
      <c r="F19">
        <v>69</v>
      </c>
      <c r="G19">
        <v>15</v>
      </c>
      <c r="H19">
        <v>7</v>
      </c>
      <c r="I19" s="3" t="s">
        <v>31</v>
      </c>
      <c r="J19" s="4" t="s">
        <v>38</v>
      </c>
    </row>
    <row r="20" spans="1:10">
      <c r="A20" t="s">
        <v>39</v>
      </c>
      <c r="B20">
        <v>90</v>
      </c>
      <c r="C20">
        <v>80</v>
      </c>
      <c r="D20">
        <v>128</v>
      </c>
      <c r="E20">
        <v>48</v>
      </c>
      <c r="F20">
        <v>63</v>
      </c>
      <c r="G20">
        <v>15</v>
      </c>
      <c r="H20">
        <v>4</v>
      </c>
      <c r="I20" s="3" t="s">
        <v>11</v>
      </c>
      <c r="J20" s="4">
        <v>29</v>
      </c>
    </row>
    <row r="22" spans="1:10">
      <c r="A22" t="s">
        <v>40</v>
      </c>
      <c r="B22">
        <f>B2</f>
        <v>1440</v>
      </c>
      <c r="C22">
        <f t="shared" ref="C22:J22" si="1">C2</f>
        <v>1252</v>
      </c>
      <c r="D22">
        <f t="shared" si="1"/>
        <v>2048</v>
      </c>
      <c r="E22">
        <f t="shared" si="1"/>
        <v>682</v>
      </c>
      <c r="F22">
        <f t="shared" si="1"/>
        <v>983</v>
      </c>
      <c r="G22">
        <f t="shared" si="1"/>
        <v>240</v>
      </c>
      <c r="H22">
        <f t="shared" si="1"/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2026-08-18T21:48:00Z</dcterms:created>
  <dcterms:modified xsi:type="dcterms:W3CDTF">2026-08-19T09:18:04Z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8D7EB0597F2E4EC4BF013859B9E4DF26_13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